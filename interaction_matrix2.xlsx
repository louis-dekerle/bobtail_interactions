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stage_Curtin_Mahidol_2026\bobtail_pilot\bobtail_interactions\"/>
    </mc:Choice>
  </mc:AlternateContent>
  <xr:revisionPtr revIDLastSave="0" documentId="13_ncr:1_{73AF6CF1-4862-4121-B751-A3063706E620}" xr6:coauthVersionLast="47" xr6:coauthVersionMax="47" xr10:uidLastSave="{00000000-0000-0000-0000-000000000000}"/>
  <bookViews>
    <workbookView xWindow="-120" yWindow="-120" windowWidth="20730" windowHeight="11160" xr2:uid="{AFA17CC3-2052-423B-B608-7260E968CD5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" l="1"/>
  <c r="H4" i="1"/>
  <c r="H2" i="1"/>
  <c r="H1" i="1"/>
  <c r="G4" i="1"/>
  <c r="G3" i="1"/>
  <c r="G1" i="1"/>
  <c r="F5" i="1"/>
  <c r="F4" i="1"/>
  <c r="F2" i="1"/>
  <c r="E4" i="1"/>
  <c r="E3" i="1"/>
  <c r="D3" i="1"/>
  <c r="D2" i="1"/>
  <c r="D1" i="1"/>
  <c r="C2" i="1"/>
  <c r="B1" i="1"/>
  <c r="H7" i="1"/>
  <c r="H5" i="1"/>
  <c r="H3" i="1"/>
  <c r="G6" i="1"/>
  <c r="G5" i="1"/>
  <c r="G2" i="1"/>
  <c r="F3" i="1"/>
  <c r="F1" i="1"/>
  <c r="E2" i="1"/>
  <c r="C1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BDDA9-AB7A-40CB-B093-0CCE597867DC}">
  <dimension ref="A1:H8"/>
  <sheetViews>
    <sheetView tabSelected="1" workbookViewId="0">
      <selection activeCell="D12" sqref="D12"/>
    </sheetView>
  </sheetViews>
  <sheetFormatPr baseColWidth="10" defaultRowHeight="15" x14ac:dyDescent="0.25"/>
  <sheetData>
    <row r="1" spans="1:8" x14ac:dyDescent="0.25">
      <c r="A1" s="1">
        <v>0</v>
      </c>
      <c r="B1">
        <f>1+2+1+1</f>
        <v>5</v>
      </c>
      <c r="C1">
        <f>1+2</f>
        <v>3</v>
      </c>
      <c r="D1">
        <f>2+1+2+3</f>
        <v>8</v>
      </c>
      <c r="E1">
        <f>3</f>
        <v>3</v>
      </c>
      <c r="F1">
        <f>1+2</f>
        <v>3</v>
      </c>
      <c r="G1">
        <f>1+2+1</f>
        <v>4</v>
      </c>
      <c r="H1">
        <f>2+1+2+1+1</f>
        <v>7</v>
      </c>
    </row>
    <row r="2" spans="1:8" x14ac:dyDescent="0.25">
      <c r="A2">
        <v>5</v>
      </c>
      <c r="B2" s="1">
        <v>0</v>
      </c>
      <c r="C2">
        <f>3+3+1+2+3</f>
        <v>12</v>
      </c>
      <c r="D2">
        <f>1+1+2+6+2</f>
        <v>12</v>
      </c>
      <c r="E2">
        <f>3+1</f>
        <v>4</v>
      </c>
      <c r="F2">
        <f>3+3+2+1+1</f>
        <v>10</v>
      </c>
      <c r="G2">
        <f>2+3+5+2+4</f>
        <v>16</v>
      </c>
      <c r="H2">
        <f>2+1+3+1+2</f>
        <v>9</v>
      </c>
    </row>
    <row r="3" spans="1:8" x14ac:dyDescent="0.25">
      <c r="A3">
        <v>3</v>
      </c>
      <c r="B3">
        <v>12</v>
      </c>
      <c r="C3" s="1">
        <v>0</v>
      </c>
      <c r="D3">
        <f>1+2+2+2+1</f>
        <v>8</v>
      </c>
      <c r="E3">
        <f>4+2+1+1</f>
        <v>8</v>
      </c>
      <c r="F3">
        <f>2+1+2+3</f>
        <v>8</v>
      </c>
      <c r="G3">
        <f>3+3+3+1</f>
        <v>10</v>
      </c>
      <c r="H3">
        <f>3+2+1+3+1</f>
        <v>10</v>
      </c>
    </row>
    <row r="4" spans="1:8" x14ac:dyDescent="0.25">
      <c r="A4">
        <v>8</v>
      </c>
      <c r="B4">
        <v>12</v>
      </c>
      <c r="C4">
        <v>8</v>
      </c>
      <c r="D4" s="1">
        <v>0</v>
      </c>
      <c r="E4">
        <f>1+2+1+2</f>
        <v>6</v>
      </c>
      <c r="F4">
        <f>2+1+2</f>
        <v>5</v>
      </c>
      <c r="G4">
        <f>2+5+2+2+1</f>
        <v>12</v>
      </c>
      <c r="H4">
        <f>2+1+1+3+5</f>
        <v>12</v>
      </c>
    </row>
    <row r="5" spans="1:8" x14ac:dyDescent="0.25">
      <c r="A5">
        <v>3</v>
      </c>
      <c r="B5">
        <v>4</v>
      </c>
      <c r="C5">
        <v>8</v>
      </c>
      <c r="D5">
        <v>6</v>
      </c>
      <c r="E5" s="1">
        <v>0</v>
      </c>
      <c r="F5">
        <f>2+1</f>
        <v>3</v>
      </c>
      <c r="G5">
        <f>1+2+6</f>
        <v>9</v>
      </c>
      <c r="H5">
        <f>5+3</f>
        <v>8</v>
      </c>
    </row>
    <row r="6" spans="1:8" x14ac:dyDescent="0.25">
      <c r="A6">
        <v>3</v>
      </c>
      <c r="B6">
        <v>10</v>
      </c>
      <c r="C6">
        <v>8</v>
      </c>
      <c r="D6">
        <v>5</v>
      </c>
      <c r="E6">
        <v>3</v>
      </c>
      <c r="F6" s="1">
        <v>0</v>
      </c>
      <c r="G6">
        <f>3+1+1</f>
        <v>5</v>
      </c>
      <c r="H6">
        <f>2+1</f>
        <v>3</v>
      </c>
    </row>
    <row r="7" spans="1:8" x14ac:dyDescent="0.25">
      <c r="A7">
        <v>4</v>
      </c>
      <c r="B7">
        <v>16</v>
      </c>
      <c r="C7">
        <v>10</v>
      </c>
      <c r="D7">
        <v>12</v>
      </c>
      <c r="E7">
        <v>9</v>
      </c>
      <c r="F7">
        <v>5</v>
      </c>
      <c r="G7" s="1">
        <v>0</v>
      </c>
      <c r="H7">
        <f>1+2+4+4</f>
        <v>11</v>
      </c>
    </row>
    <row r="8" spans="1:8" x14ac:dyDescent="0.25">
      <c r="A8">
        <v>7</v>
      </c>
      <c r="B8">
        <v>9</v>
      </c>
      <c r="C8">
        <v>10</v>
      </c>
      <c r="D8">
        <v>12</v>
      </c>
      <c r="E8">
        <v>8</v>
      </c>
      <c r="F8">
        <v>3</v>
      </c>
      <c r="G8">
        <v>11</v>
      </c>
      <c r="H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louisdekerle@gmail.com</dc:creator>
  <cp:lastModifiedBy>louisdekerle@gmail.com</cp:lastModifiedBy>
  <dcterms:created xsi:type="dcterms:W3CDTF">2026-05-11T06:26:25Z</dcterms:created>
  <dcterms:modified xsi:type="dcterms:W3CDTF">2026-05-18T08:31:46Z</dcterms:modified>
</cp:coreProperties>
</file>